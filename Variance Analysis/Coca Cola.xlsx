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ana\Desktop\Practice\"/>
    </mc:Choice>
  </mc:AlternateContent>
  <xr:revisionPtr revIDLastSave="0" documentId="13_ncr:1_{E688B8E2-6325-4C1D-96E1-539309ADE573}" xr6:coauthVersionLast="47" xr6:coauthVersionMax="47" xr10:uidLastSave="{00000000-0000-0000-0000-000000000000}"/>
  <bookViews>
    <workbookView xWindow="-108" yWindow="-108" windowWidth="23256" windowHeight="13896" activeTab="1" xr2:uid="{4747204F-5A15-4CFB-9A0E-89222214B7D1}"/>
  </bookViews>
  <sheets>
    <sheet name="From Balance Sheet" sheetId="1" r:id="rId1"/>
    <sheet name="Variance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2" l="1"/>
  <c r="J34" i="2"/>
  <c r="F34" i="2"/>
  <c r="D34" i="2"/>
  <c r="L44" i="2"/>
  <c r="J44" i="2"/>
  <c r="L38" i="2"/>
  <c r="L39" i="2"/>
  <c r="L40" i="2"/>
  <c r="L41" i="2"/>
  <c r="L42" i="2"/>
  <c r="L43" i="2"/>
  <c r="L37" i="2"/>
  <c r="J38" i="2"/>
  <c r="J39" i="2"/>
  <c r="J40" i="2"/>
  <c r="J41" i="2"/>
  <c r="J42" i="2"/>
  <c r="J43" i="2"/>
  <c r="J37" i="2"/>
  <c r="L30" i="2"/>
  <c r="L26" i="2"/>
  <c r="L27" i="2"/>
  <c r="L28" i="2"/>
  <c r="L29" i="2"/>
  <c r="L31" i="2"/>
  <c r="L32" i="2"/>
  <c r="L33" i="2"/>
  <c r="L25" i="2"/>
  <c r="J30" i="2"/>
  <c r="J26" i="2"/>
  <c r="J27" i="2"/>
  <c r="J28" i="2"/>
  <c r="J29" i="2"/>
  <c r="J31" i="2"/>
  <c r="J32" i="2"/>
  <c r="J33" i="2"/>
  <c r="J25" i="2"/>
  <c r="L12" i="2"/>
  <c r="L13" i="2"/>
  <c r="L8" i="2"/>
  <c r="L21" i="2"/>
  <c r="L14" i="2"/>
  <c r="J21" i="2"/>
  <c r="J14" i="2"/>
  <c r="J8" i="2"/>
  <c r="L7" i="2"/>
  <c r="L9" i="2"/>
  <c r="L10" i="2"/>
  <c r="L11" i="2"/>
  <c r="L15" i="2"/>
  <c r="L16" i="2"/>
  <c r="L17" i="2"/>
  <c r="L18" i="2"/>
  <c r="L19" i="2"/>
  <c r="L20" i="2"/>
  <c r="L6" i="2"/>
  <c r="J7" i="2"/>
  <c r="J9" i="2"/>
  <c r="J10" i="2"/>
  <c r="J11" i="2"/>
  <c r="J12" i="2"/>
  <c r="J13" i="2"/>
  <c r="J15" i="2"/>
  <c r="J16" i="2"/>
  <c r="J17" i="2"/>
  <c r="J18" i="2"/>
  <c r="J19" i="2"/>
  <c r="J20" i="2"/>
  <c r="J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bpana</author>
  </authors>
  <commentList>
    <comment ref="C6" authorId="0" shapeId="0" xr:uid="{01E56DF1-896A-442C-B165-F11421E26327}">
      <text>
        <r>
          <rPr>
            <b/>
            <sz val="9"/>
            <color indexed="81"/>
            <rFont val="Tahoma"/>
            <family val="2"/>
          </rPr>
          <t>bpana:</t>
        </r>
        <r>
          <rPr>
            <sz val="9"/>
            <color indexed="81"/>
            <rFont val="Tahoma"/>
            <family val="2"/>
          </rPr>
          <t xml:space="preserve">
In Millions
</t>
        </r>
      </text>
    </comment>
  </commentList>
</comments>
</file>

<file path=xl/sharedStrings.xml><?xml version="1.0" encoding="utf-8"?>
<sst xmlns="http://schemas.openxmlformats.org/spreadsheetml/2006/main" count="157" uniqueCount="108">
  <si>
    <t>ASSETS</t>
  </si>
  <si>
    <t>Current Assets</t>
  </si>
  <si>
    <t>Cash and cash equivalents</t>
  </si>
  <si>
    <t>$</t>
  </si>
  <si>
    <t>Short-term investments</t>
  </si>
  <si>
    <r>
      <t>3,602</t>
    </r>
    <r>
      <rPr>
        <sz val="10"/>
        <color rgb="FF000000"/>
        <rFont val="Times New Roman"/>
        <family val="1"/>
      </rPr>
      <t> </t>
    </r>
  </si>
  <si>
    <t>2,020 </t>
  </si>
  <si>
    <t>Total Cash, Cash Equivalents and Short-Term Investments</t>
  </si>
  <si>
    <r>
      <t>13,872</t>
    </r>
    <r>
      <rPr>
        <sz val="10"/>
        <color rgb="FF000000"/>
        <rFont val="Times New Roman"/>
        <family val="1"/>
      </rPr>
      <t> </t>
    </r>
  </si>
  <si>
    <t>12,848 </t>
  </si>
  <si>
    <t>Marketable securities</t>
  </si>
  <si>
    <r>
      <t>1,934</t>
    </r>
    <r>
      <rPr>
        <sz val="10"/>
        <color rgb="FF000000"/>
        <rFont val="Times New Roman"/>
        <family val="1"/>
      </rPr>
      <t> </t>
    </r>
  </si>
  <si>
    <t>1,723 </t>
  </si>
  <si>
    <t>Trade accounts receivable, less allowances of $495 and $506, respectively</t>
  </si>
  <si>
    <r>
      <t>3,038</t>
    </r>
    <r>
      <rPr>
        <sz val="10"/>
        <color rgb="FF000000"/>
        <rFont val="Times New Roman"/>
        <family val="1"/>
      </rPr>
      <t> </t>
    </r>
  </si>
  <si>
    <t>3,569 </t>
  </si>
  <si>
    <t>Inventories</t>
  </si>
  <si>
    <r>
      <t>4,425</t>
    </r>
    <r>
      <rPr>
        <sz val="10"/>
        <color rgb="FF000000"/>
        <rFont val="Times New Roman"/>
        <family val="1"/>
      </rPr>
      <t> </t>
    </r>
  </si>
  <si>
    <t>4,728 </t>
  </si>
  <si>
    <t>Prepaid expenses and other current assets</t>
  </si>
  <si>
    <r>
      <t>2,433</t>
    </r>
    <r>
      <rPr>
        <sz val="10"/>
        <color rgb="FF000000"/>
        <rFont val="Times New Roman"/>
        <family val="1"/>
      </rPr>
      <t> </t>
    </r>
  </si>
  <si>
    <t>2,998 </t>
  </si>
  <si>
    <t>Assets held for sale</t>
  </si>
  <si>
    <r>
      <t>5,342</t>
    </r>
    <r>
      <rPr>
        <sz val="10"/>
        <color rgb="FF000000"/>
        <rFont val="Times New Roman"/>
        <family val="1"/>
      </rPr>
      <t> </t>
    </r>
  </si>
  <si>
    <t>131 </t>
  </si>
  <si>
    <t>Total Current Assets</t>
  </si>
  <si>
    <r>
      <t>31,044</t>
    </r>
    <r>
      <rPr>
        <sz val="10"/>
        <color rgb="FF000000"/>
        <rFont val="Times New Roman"/>
        <family val="1"/>
      </rPr>
      <t> </t>
    </r>
  </si>
  <si>
    <t>25,997 </t>
  </si>
  <si>
    <t>Equity method investments</t>
  </si>
  <si>
    <r>
      <t>20,235</t>
    </r>
    <r>
      <rPr>
        <sz val="10"/>
        <color rgb="FF000000"/>
        <rFont val="Times New Roman"/>
        <family val="1"/>
      </rPr>
      <t> </t>
    </r>
  </si>
  <si>
    <t>18,087 </t>
  </si>
  <si>
    <t>Deferred income tax assets</t>
  </si>
  <si>
    <r>
      <t>1,206</t>
    </r>
    <r>
      <rPr>
        <sz val="10"/>
        <color rgb="FF000000"/>
        <rFont val="Times New Roman"/>
        <family val="1"/>
      </rPr>
      <t> </t>
    </r>
  </si>
  <si>
    <t>1,319 </t>
  </si>
  <si>
    <t>Property, plant and equipment — net</t>
  </si>
  <si>
    <r>
      <t>9,613</t>
    </r>
    <r>
      <rPr>
        <sz val="10"/>
        <color rgb="FF000000"/>
        <rFont val="Times New Roman"/>
        <family val="1"/>
      </rPr>
      <t> </t>
    </r>
  </si>
  <si>
    <t>10,303 </t>
  </si>
  <si>
    <t>Trademarks with indefinite lives</t>
  </si>
  <si>
    <r>
      <t>12,531</t>
    </r>
    <r>
      <rPr>
        <sz val="10"/>
        <color rgb="FF000000"/>
        <rFont val="Times New Roman"/>
        <family val="1"/>
      </rPr>
      <t> </t>
    </r>
  </si>
  <si>
    <t>13,301 </t>
  </si>
  <si>
    <t>Goodwill</t>
  </si>
  <si>
    <r>
      <t>15,491</t>
    </r>
    <r>
      <rPr>
        <sz val="10"/>
        <color rgb="FF000000"/>
        <rFont val="Times New Roman"/>
        <family val="1"/>
      </rPr>
      <t> </t>
    </r>
  </si>
  <si>
    <t>18,139 </t>
  </si>
  <si>
    <t>Other noncurrent assets</t>
  </si>
  <si>
    <r>
      <t>14,696</t>
    </r>
    <r>
      <rPr>
        <sz val="10"/>
        <color rgb="FF000000"/>
        <rFont val="Times New Roman"/>
        <family val="1"/>
      </rPr>
      <t> </t>
    </r>
  </si>
  <si>
    <t>13,403 </t>
  </si>
  <si>
    <t>Total Assets</t>
  </si>
  <si>
    <r>
      <t>104,816</t>
    </r>
    <r>
      <rPr>
        <sz val="10"/>
        <color rgb="FF000000"/>
        <rFont val="Times New Roman"/>
        <family val="1"/>
      </rPr>
      <t> </t>
    </r>
  </si>
  <si>
    <t>100,549 </t>
  </si>
  <si>
    <t>LIABILITIES AND EQUITY</t>
  </si>
  <si>
    <t>Current Liabilities</t>
  </si>
  <si>
    <t>Accounts payable and accrued expenses</t>
  </si>
  <si>
    <r>
      <t>14,813</t>
    </r>
    <r>
      <rPr>
        <sz val="10"/>
        <color rgb="FF000000"/>
        <rFont val="Times New Roman"/>
        <family val="1"/>
      </rPr>
      <t> </t>
    </r>
  </si>
  <si>
    <t>21,712 </t>
  </si>
  <si>
    <t>Loans and notes payable</t>
  </si>
  <si>
    <r>
      <t>1,551</t>
    </r>
    <r>
      <rPr>
        <sz val="10"/>
        <color rgb="FF000000"/>
        <rFont val="Times New Roman"/>
        <family val="1"/>
      </rPr>
      <t> </t>
    </r>
  </si>
  <si>
    <t>1,499 </t>
  </si>
  <si>
    <t>Current maturities of long-term debt</t>
  </si>
  <si>
    <r>
      <t>1,822</t>
    </r>
    <r>
      <rPr>
        <sz val="10"/>
        <color rgb="FF000000"/>
        <rFont val="Times New Roman"/>
        <family val="1"/>
      </rPr>
      <t> </t>
    </r>
  </si>
  <si>
    <t>648 </t>
  </si>
  <si>
    <t>Accrued income taxes</t>
  </si>
  <si>
    <r>
      <t>525</t>
    </r>
    <r>
      <rPr>
        <sz val="10"/>
        <color rgb="FF000000"/>
        <rFont val="Times New Roman"/>
        <family val="1"/>
      </rPr>
      <t> </t>
    </r>
  </si>
  <si>
    <t>1,387 </t>
  </si>
  <si>
    <t>Liabilities held for sale</t>
  </si>
  <si>
    <r>
      <t>2,570</t>
    </r>
    <r>
      <rPr>
        <sz val="10"/>
        <color rgb="FF000000"/>
        <rFont val="Times New Roman"/>
        <family val="1"/>
      </rPr>
      <t> </t>
    </r>
  </si>
  <si>
    <t>3 </t>
  </si>
  <si>
    <t>Total Current Liabilities</t>
  </si>
  <si>
    <r>
      <t>21,281</t>
    </r>
    <r>
      <rPr>
        <sz val="10"/>
        <color rgb="FF000000"/>
        <rFont val="Times New Roman"/>
        <family val="1"/>
      </rPr>
      <t> </t>
    </r>
  </si>
  <si>
    <t>25,249 </t>
  </si>
  <si>
    <t>Long-term debt</t>
  </si>
  <si>
    <r>
      <t>42,119</t>
    </r>
    <r>
      <rPr>
        <sz val="10"/>
        <color rgb="FF000000"/>
        <rFont val="Times New Roman"/>
        <family val="1"/>
      </rPr>
      <t> </t>
    </r>
  </si>
  <si>
    <t>42,375 </t>
  </si>
  <si>
    <t>Other noncurrent liabilities</t>
  </si>
  <si>
    <r>
      <t>4,735</t>
    </r>
    <r>
      <rPr>
        <sz val="10"/>
        <color rgb="FF000000"/>
        <rFont val="Times New Roman"/>
        <family val="1"/>
      </rPr>
      <t> </t>
    </r>
  </si>
  <si>
    <t>4,084 </t>
  </si>
  <si>
    <t>Deferred income tax liabilities</t>
  </si>
  <si>
    <r>
      <t>2,406</t>
    </r>
    <r>
      <rPr>
        <sz val="10"/>
        <color rgb="FF000000"/>
        <rFont val="Times New Roman"/>
        <family val="1"/>
      </rPr>
      <t> </t>
    </r>
  </si>
  <si>
    <t>2,469 </t>
  </si>
  <si>
    <t>The Coca-Cola Company Shareowners’ Equity</t>
  </si>
  <si>
    <t>Common stock, $0.25 par value; authorized — 11,200 shares; issued — 7,040 shares</t>
  </si>
  <si>
    <r>
      <t>1,760</t>
    </r>
    <r>
      <rPr>
        <sz val="10"/>
        <color rgb="FF000000"/>
        <rFont val="Times New Roman"/>
        <family val="1"/>
      </rPr>
      <t> </t>
    </r>
  </si>
  <si>
    <t>1,760 </t>
  </si>
  <si>
    <t>Capital surplus</t>
  </si>
  <si>
    <r>
      <t>20,581</t>
    </r>
    <r>
      <rPr>
        <sz val="10"/>
        <color rgb="FF000000"/>
        <rFont val="Times New Roman"/>
        <family val="1"/>
      </rPr>
      <t> </t>
    </r>
  </si>
  <si>
    <t>19,801 </t>
  </si>
  <si>
    <t>Reinvested earnings</t>
  </si>
  <si>
    <r>
      <t>80,382</t>
    </r>
    <r>
      <rPr>
        <sz val="10"/>
        <color rgb="FF000000"/>
        <rFont val="Times New Roman"/>
        <family val="1"/>
      </rPr>
      <t> </t>
    </r>
  </si>
  <si>
    <t>76,054 </t>
  </si>
  <si>
    <t>Accumulated other comprehensive income (loss)</t>
  </si>
  <si>
    <t>Treasury stock, at cost — 2,738 and 2,738 shares, respectively</t>
  </si>
  <si>
    <t>Equity Attributable to Shareowners of The Coca-Cola Company</t>
  </si>
  <si>
    <r>
      <t>32,169</t>
    </r>
    <r>
      <rPr>
        <sz val="10"/>
        <color rgb="FF000000"/>
        <rFont val="Times New Roman"/>
        <family val="1"/>
      </rPr>
      <t> </t>
    </r>
  </si>
  <si>
    <t>24,856 </t>
  </si>
  <si>
    <t>Equity attributable to noncontrolling interests</t>
  </si>
  <si>
    <r>
      <t>2,106</t>
    </r>
    <r>
      <rPr>
        <sz val="10"/>
        <color rgb="FF000000"/>
        <rFont val="Times New Roman"/>
        <family val="1"/>
      </rPr>
      <t> </t>
    </r>
  </si>
  <si>
    <t>1,516 </t>
  </si>
  <si>
    <t>Total Equity</t>
  </si>
  <si>
    <r>
      <t>34,275</t>
    </r>
    <r>
      <rPr>
        <sz val="10"/>
        <color rgb="FF000000"/>
        <rFont val="Times New Roman"/>
        <family val="1"/>
      </rPr>
      <t> </t>
    </r>
  </si>
  <si>
    <t>26,372 </t>
  </si>
  <si>
    <t>Total Liabilities and Equity</t>
  </si>
  <si>
    <r>
      <t>10270</t>
    </r>
    <r>
      <rPr>
        <sz val="10"/>
        <color rgb="FF000000"/>
        <rFont val="Times New Roman"/>
        <family val="1"/>
      </rPr>
      <t> </t>
    </r>
  </si>
  <si>
    <t>10828 </t>
  </si>
  <si>
    <t>Shareowners’ Equity</t>
  </si>
  <si>
    <t xml:space="preserve"> </t>
  </si>
  <si>
    <t>Var. %</t>
  </si>
  <si>
    <t>Abs. Var.</t>
  </si>
  <si>
    <t>Retrieved from Edgar</t>
  </si>
  <si>
    <t>Total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</si>
</sst>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u/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EE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right" wrapText="1"/>
    </xf>
    <xf numFmtId="0" fontId="2" fillId="2" borderId="2" xfId="0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right" wrapText="1"/>
    </xf>
    <xf numFmtId="0" fontId="2" fillId="3" borderId="3" xfId="0" applyFont="1" applyFill="1" applyBorder="1" applyAlignment="1">
      <alignment horizontal="right" wrapText="1"/>
    </xf>
    <xf numFmtId="0" fontId="5" fillId="3" borderId="3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right" wrapText="1"/>
    </xf>
    <xf numFmtId="0" fontId="5" fillId="2" borderId="3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4" fillId="3" borderId="0" xfId="0" applyFont="1" applyFill="1" applyAlignment="1">
      <alignment horizontal="right" wrapText="1"/>
    </xf>
    <xf numFmtId="0" fontId="4" fillId="3" borderId="1" xfId="0" applyFont="1" applyFill="1" applyBorder="1" applyAlignment="1">
      <alignment horizontal="right" wrapText="1"/>
    </xf>
    <xf numFmtId="0" fontId="5" fillId="3" borderId="0" xfId="0" applyFont="1" applyFill="1" applyAlignment="1">
      <alignment horizontal="right" wrapText="1"/>
    </xf>
    <xf numFmtId="0" fontId="5" fillId="3" borderId="1" xfId="0" applyFont="1" applyFill="1" applyBorder="1" applyAlignment="1">
      <alignment horizontal="right" wrapText="1"/>
    </xf>
    <xf numFmtId="0" fontId="4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right" wrapText="1"/>
    </xf>
    <xf numFmtId="0" fontId="5" fillId="2" borderId="2" xfId="0" applyFont="1" applyFill="1" applyBorder="1" applyAlignment="1">
      <alignment horizontal="right" wrapText="1"/>
    </xf>
    <xf numFmtId="0" fontId="5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right" wrapText="1"/>
    </xf>
    <xf numFmtId="0" fontId="5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right" wrapText="1"/>
    </xf>
    <xf numFmtId="0" fontId="5" fillId="3" borderId="2" xfId="0" applyFont="1" applyFill="1" applyBorder="1" applyAlignment="1">
      <alignment horizontal="right" wrapText="1"/>
    </xf>
    <xf numFmtId="3" fontId="4" fillId="3" borderId="0" xfId="0" applyNumberFormat="1" applyFont="1" applyFill="1" applyAlignment="1">
      <alignment horizontal="right" wrapText="1"/>
    </xf>
    <xf numFmtId="3" fontId="5" fillId="3" borderId="0" xfId="0" applyNumberFormat="1" applyFont="1" applyFill="1" applyAlignment="1">
      <alignment horizontal="right" wrapText="1"/>
    </xf>
    <xf numFmtId="0" fontId="5" fillId="2" borderId="1" xfId="0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right" wrapText="1"/>
    </xf>
    <xf numFmtId="3" fontId="5" fillId="2" borderId="1" xfId="0" applyNumberFormat="1" applyFont="1" applyFill="1" applyBorder="1" applyAlignment="1">
      <alignment horizontal="right" wrapText="1"/>
    </xf>
    <xf numFmtId="0" fontId="4" fillId="3" borderId="5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right" wrapText="1"/>
    </xf>
    <xf numFmtId="0" fontId="5" fillId="3" borderId="5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left" wrapText="1"/>
    </xf>
    <xf numFmtId="0" fontId="5" fillId="0" borderId="0" xfId="0" applyFont="1" applyAlignment="1">
      <alignment vertical="center" wrapText="1"/>
    </xf>
    <xf numFmtId="0" fontId="3" fillId="2" borderId="0" xfId="0" applyFont="1" applyFill="1" applyBorder="1" applyAlignment="1">
      <alignment horizontal="center" wrapText="1"/>
    </xf>
    <xf numFmtId="0" fontId="5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1" fillId="0" borderId="0" xfId="0" applyFont="1"/>
    <xf numFmtId="0" fontId="1" fillId="4" borderId="0" xfId="0" applyFont="1" applyFill="1"/>
    <xf numFmtId="0" fontId="6" fillId="4" borderId="0" xfId="0" applyFont="1" applyFill="1" applyAlignment="1">
      <alignment horizontal="center" wrapText="1"/>
    </xf>
    <xf numFmtId="0" fontId="6" fillId="4" borderId="0" xfId="0" applyFont="1" applyFill="1"/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1" fillId="5" borderId="0" xfId="0" applyFont="1" applyFill="1" applyAlignment="1">
      <alignment wrapText="1"/>
    </xf>
    <xf numFmtId="0" fontId="1" fillId="5" borderId="0" xfId="0" applyFont="1" applyFill="1"/>
    <xf numFmtId="0" fontId="0" fillId="5" borderId="0" xfId="0" applyFill="1"/>
    <xf numFmtId="0" fontId="6" fillId="5" borderId="0" xfId="0" applyFont="1" applyFill="1" applyAlignment="1">
      <alignment horizontal="center" wrapText="1"/>
    </xf>
    <xf numFmtId="0" fontId="6" fillId="5" borderId="0" xfId="0" applyFont="1" applyFill="1"/>
    <xf numFmtId="0" fontId="1" fillId="6" borderId="0" xfId="0" applyFont="1" applyFill="1" applyAlignment="1">
      <alignment wrapText="1"/>
    </xf>
    <xf numFmtId="0" fontId="1" fillId="6" borderId="0" xfId="0" applyFont="1" applyFill="1"/>
    <xf numFmtId="0" fontId="6" fillId="0" borderId="0" xfId="0" applyFont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2" fontId="0" fillId="0" borderId="0" xfId="0" applyNumberFormat="1"/>
    <xf numFmtId="2" fontId="1" fillId="0" borderId="0" xfId="0" applyNumberFormat="1" applyFont="1"/>
    <xf numFmtId="2" fontId="1" fillId="4" borderId="0" xfId="0" applyNumberFormat="1" applyFont="1" applyFill="1"/>
    <xf numFmtId="2" fontId="1" fillId="5" borderId="0" xfId="0" applyNumberFormat="1" applyFont="1" applyFill="1"/>
    <xf numFmtId="0" fontId="1" fillId="0" borderId="0" xfId="0" applyNumberFormat="1" applyFont="1"/>
    <xf numFmtId="0" fontId="1" fillId="4" borderId="0" xfId="0" applyFont="1" applyFill="1" applyAlignment="1">
      <alignment horizontal="center"/>
    </xf>
    <xf numFmtId="2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0" fontId="1" fillId="0" borderId="0" xfId="0" applyFont="1" applyAlignment="1">
      <alignment horizontal="center"/>
    </xf>
    <xf numFmtId="0" fontId="10" fillId="0" borderId="0" xfId="1"/>
    <xf numFmtId="0" fontId="6" fillId="4" borderId="0" xfId="0" applyFont="1" applyFill="1" applyAlignment="1">
      <alignment horizontal="center"/>
    </xf>
    <xf numFmtId="2" fontId="6" fillId="4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c.gov/ix?doc=/Archives/edgar/data/21344/000162828026010047/ko-20251231.ht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6BF5-2072-4361-BD07-1D67624C5AD4}">
  <dimension ref="A1:H42"/>
  <sheetViews>
    <sheetView workbookViewId="0">
      <selection activeCell="J39" sqref="J39"/>
    </sheetView>
  </sheetViews>
  <sheetFormatPr defaultRowHeight="14.4" x14ac:dyDescent="0.3"/>
  <cols>
    <col min="1" max="1" width="28.77734375" customWidth="1"/>
    <col min="2" max="2" width="10.88671875" customWidth="1"/>
    <col min="5" max="5" width="7" customWidth="1"/>
    <col min="10" max="10" width="15.77734375" customWidth="1"/>
  </cols>
  <sheetData>
    <row r="1" spans="1:8" x14ac:dyDescent="0.3">
      <c r="A1" s="20" t="s">
        <v>0</v>
      </c>
      <c r="B1" s="20"/>
      <c r="C1" s="20"/>
      <c r="D1" s="20"/>
      <c r="E1" s="20"/>
      <c r="F1" s="20"/>
      <c r="G1" s="20"/>
      <c r="H1" s="20"/>
    </row>
    <row r="2" spans="1:8" x14ac:dyDescent="0.3">
      <c r="A2" s="53"/>
      <c r="B2" s="53"/>
      <c r="C2" s="53"/>
      <c r="D2" s="53">
        <v>2025</v>
      </c>
      <c r="E2" s="53"/>
      <c r="F2" s="53"/>
      <c r="G2" s="53">
        <v>2024</v>
      </c>
      <c r="H2" s="53"/>
    </row>
    <row r="3" spans="1:8" x14ac:dyDescent="0.3">
      <c r="A3" s="21" t="s">
        <v>1</v>
      </c>
      <c r="B3" s="21"/>
      <c r="C3" s="22"/>
      <c r="D3" s="22"/>
      <c r="E3" s="22"/>
      <c r="F3" s="22"/>
      <c r="G3" s="22"/>
      <c r="H3" s="22"/>
    </row>
    <row r="4" spans="1:8" x14ac:dyDescent="0.3">
      <c r="A4" s="23" t="s">
        <v>2</v>
      </c>
      <c r="B4" s="23"/>
      <c r="C4" s="3" t="s">
        <v>3</v>
      </c>
      <c r="D4" s="4" t="s">
        <v>100</v>
      </c>
      <c r="E4" s="5"/>
      <c r="F4" s="2" t="s">
        <v>3</v>
      </c>
      <c r="G4" s="54" t="s">
        <v>101</v>
      </c>
      <c r="H4" s="5"/>
    </row>
    <row r="5" spans="1:8" ht="15" thickBot="1" x14ac:dyDescent="0.35">
      <c r="A5" s="24" t="s">
        <v>4</v>
      </c>
      <c r="B5" s="24"/>
      <c r="C5" s="26" t="s">
        <v>5</v>
      </c>
      <c r="D5" s="26"/>
      <c r="E5" s="7"/>
      <c r="F5" s="28" t="s">
        <v>6</v>
      </c>
      <c r="G5" s="28"/>
      <c r="H5" s="7"/>
    </row>
    <row r="6" spans="1:8" ht="26.4" customHeight="1" x14ac:dyDescent="0.3">
      <c r="A6" s="29" t="s">
        <v>7</v>
      </c>
      <c r="B6" s="29"/>
      <c r="C6" s="30" t="s">
        <v>8</v>
      </c>
      <c r="D6" s="30"/>
      <c r="E6" s="8"/>
      <c r="F6" s="31" t="s">
        <v>9</v>
      </c>
      <c r="G6" s="31"/>
      <c r="H6" s="8"/>
    </row>
    <row r="7" spans="1:8" x14ac:dyDescent="0.3">
      <c r="A7" s="22" t="s">
        <v>10</v>
      </c>
      <c r="B7" s="22"/>
      <c r="C7" s="25" t="s">
        <v>11</v>
      </c>
      <c r="D7" s="25"/>
      <c r="E7" s="7"/>
      <c r="F7" s="27" t="s">
        <v>12</v>
      </c>
      <c r="G7" s="27"/>
      <c r="H7" s="7"/>
    </row>
    <row r="8" spans="1:8" ht="39.6" customHeight="1" x14ac:dyDescent="0.3">
      <c r="A8" s="32" t="s">
        <v>13</v>
      </c>
      <c r="B8" s="32"/>
      <c r="C8" s="33" t="s">
        <v>14</v>
      </c>
      <c r="D8" s="33"/>
      <c r="E8" s="5"/>
      <c r="F8" s="34" t="s">
        <v>15</v>
      </c>
      <c r="G8" s="34"/>
      <c r="H8" s="5"/>
    </row>
    <row r="9" spans="1:8" x14ac:dyDescent="0.3">
      <c r="A9" s="22" t="s">
        <v>16</v>
      </c>
      <c r="B9" s="22"/>
      <c r="C9" s="25" t="s">
        <v>17</v>
      </c>
      <c r="D9" s="25"/>
      <c r="E9" s="7"/>
      <c r="F9" s="27" t="s">
        <v>18</v>
      </c>
      <c r="G9" s="27"/>
      <c r="H9" s="7"/>
    </row>
    <row r="10" spans="1:8" ht="26.4" customHeight="1" x14ac:dyDescent="0.3">
      <c r="A10" s="23" t="s">
        <v>19</v>
      </c>
      <c r="B10" s="23"/>
      <c r="C10" s="33" t="s">
        <v>20</v>
      </c>
      <c r="D10" s="33"/>
      <c r="E10" s="5"/>
      <c r="F10" s="34" t="s">
        <v>21</v>
      </c>
      <c r="G10" s="34"/>
      <c r="H10" s="5"/>
    </row>
    <row r="11" spans="1:8" ht="15" thickBot="1" x14ac:dyDescent="0.35">
      <c r="A11" s="24" t="s">
        <v>22</v>
      </c>
      <c r="B11" s="24"/>
      <c r="C11" s="26" t="s">
        <v>23</v>
      </c>
      <c r="D11" s="26"/>
      <c r="E11" s="7"/>
      <c r="F11" s="28" t="s">
        <v>24</v>
      </c>
      <c r="G11" s="28"/>
      <c r="H11" s="7"/>
    </row>
    <row r="12" spans="1:8" x14ac:dyDescent="0.3">
      <c r="A12" s="29" t="s">
        <v>25</v>
      </c>
      <c r="B12" s="29"/>
      <c r="C12" s="30" t="s">
        <v>26</v>
      </c>
      <c r="D12" s="30"/>
      <c r="E12" s="8"/>
      <c r="F12" s="31" t="s">
        <v>27</v>
      </c>
      <c r="G12" s="31"/>
      <c r="H12" s="8"/>
    </row>
    <row r="13" spans="1:8" x14ac:dyDescent="0.3">
      <c r="A13" s="22" t="s">
        <v>28</v>
      </c>
      <c r="B13" s="22"/>
      <c r="C13" s="25" t="s">
        <v>29</v>
      </c>
      <c r="D13" s="25"/>
      <c r="E13" s="7"/>
      <c r="F13" s="27" t="s">
        <v>30</v>
      </c>
      <c r="G13" s="27"/>
      <c r="H13" s="7"/>
    </row>
    <row r="14" spans="1:8" x14ac:dyDescent="0.3">
      <c r="A14" s="23" t="s">
        <v>31</v>
      </c>
      <c r="B14" s="23"/>
      <c r="C14" s="33" t="s">
        <v>32</v>
      </c>
      <c r="D14" s="33"/>
      <c r="E14" s="5"/>
      <c r="F14" s="34" t="s">
        <v>33</v>
      </c>
      <c r="G14" s="34"/>
      <c r="H14" s="5"/>
    </row>
    <row r="15" spans="1:8" ht="26.4" customHeight="1" x14ac:dyDescent="0.3">
      <c r="A15" s="22" t="s">
        <v>34</v>
      </c>
      <c r="B15" s="22"/>
      <c r="C15" s="25" t="s">
        <v>35</v>
      </c>
      <c r="D15" s="25"/>
      <c r="E15" s="7"/>
      <c r="F15" s="27" t="s">
        <v>36</v>
      </c>
      <c r="G15" s="27"/>
      <c r="H15" s="7"/>
    </row>
    <row r="16" spans="1:8" x14ac:dyDescent="0.3">
      <c r="A16" s="23" t="s">
        <v>37</v>
      </c>
      <c r="B16" s="23"/>
      <c r="C16" s="33" t="s">
        <v>38</v>
      </c>
      <c r="D16" s="33"/>
      <c r="E16" s="5"/>
      <c r="F16" s="34" t="s">
        <v>39</v>
      </c>
      <c r="G16" s="34"/>
      <c r="H16" s="5"/>
    </row>
    <row r="17" spans="1:8" x14ac:dyDescent="0.3">
      <c r="A17" s="22" t="s">
        <v>40</v>
      </c>
      <c r="B17" s="22"/>
      <c r="C17" s="25" t="s">
        <v>41</v>
      </c>
      <c r="D17" s="25"/>
      <c r="E17" s="7"/>
      <c r="F17" s="27" t="s">
        <v>42</v>
      </c>
      <c r="G17" s="27"/>
      <c r="H17" s="7"/>
    </row>
    <row r="18" spans="1:8" ht="15" thickBot="1" x14ac:dyDescent="0.35">
      <c r="A18" s="35" t="s">
        <v>43</v>
      </c>
      <c r="B18" s="35"/>
      <c r="C18" s="36" t="s">
        <v>44</v>
      </c>
      <c r="D18" s="36"/>
      <c r="E18" s="5"/>
      <c r="F18" s="37" t="s">
        <v>45</v>
      </c>
      <c r="G18" s="37"/>
      <c r="H18" s="5"/>
    </row>
    <row r="19" spans="1:8" ht="15" thickBot="1" x14ac:dyDescent="0.35">
      <c r="A19" s="39" t="s">
        <v>46</v>
      </c>
      <c r="B19" s="39"/>
      <c r="C19" s="9" t="s">
        <v>3</v>
      </c>
      <c r="D19" s="10" t="s">
        <v>47</v>
      </c>
      <c r="E19" s="11"/>
      <c r="F19" s="12" t="s">
        <v>3</v>
      </c>
      <c r="G19" s="13" t="s">
        <v>48</v>
      </c>
      <c r="H19" s="11"/>
    </row>
    <row r="20" spans="1:8" ht="15" thickTop="1" x14ac:dyDescent="0.3">
      <c r="A20" s="40" t="s">
        <v>49</v>
      </c>
      <c r="B20" s="40"/>
      <c r="C20" s="40"/>
      <c r="D20" s="40"/>
      <c r="E20" s="40"/>
      <c r="F20" s="40"/>
      <c r="G20" s="40"/>
      <c r="H20" s="40"/>
    </row>
    <row r="21" spans="1:8" x14ac:dyDescent="0.3">
      <c r="A21" s="21" t="s">
        <v>50</v>
      </c>
      <c r="B21" s="21"/>
      <c r="C21" s="22"/>
      <c r="D21" s="22"/>
      <c r="E21" s="22"/>
      <c r="F21" s="22"/>
      <c r="G21" s="22"/>
      <c r="H21" s="22"/>
    </row>
    <row r="22" spans="1:8" ht="26.4" customHeight="1" x14ac:dyDescent="0.3">
      <c r="A22" s="23" t="s">
        <v>51</v>
      </c>
      <c r="B22" s="23"/>
      <c r="C22" s="3" t="s">
        <v>3</v>
      </c>
      <c r="D22" s="4" t="s">
        <v>52</v>
      </c>
      <c r="E22" s="5"/>
      <c r="F22" s="2" t="s">
        <v>3</v>
      </c>
      <c r="G22" s="6" t="s">
        <v>53</v>
      </c>
      <c r="H22" s="5"/>
    </row>
    <row r="23" spans="1:8" x14ac:dyDescent="0.3">
      <c r="A23" s="22" t="s">
        <v>54</v>
      </c>
      <c r="B23" s="22"/>
      <c r="C23" s="25" t="s">
        <v>55</v>
      </c>
      <c r="D23" s="25"/>
      <c r="E23" s="7"/>
      <c r="F23" s="27" t="s">
        <v>56</v>
      </c>
      <c r="G23" s="27"/>
      <c r="H23" s="7"/>
    </row>
    <row r="24" spans="1:8" ht="26.4" customHeight="1" x14ac:dyDescent="0.3">
      <c r="A24" s="23" t="s">
        <v>57</v>
      </c>
      <c r="B24" s="23"/>
      <c r="C24" s="33" t="s">
        <v>58</v>
      </c>
      <c r="D24" s="33"/>
      <c r="E24" s="5"/>
      <c r="F24" s="34" t="s">
        <v>59</v>
      </c>
      <c r="G24" s="34"/>
      <c r="H24" s="5"/>
    </row>
    <row r="25" spans="1:8" x14ac:dyDescent="0.3">
      <c r="A25" s="22" t="s">
        <v>60</v>
      </c>
      <c r="B25" s="22"/>
      <c r="C25" s="25" t="s">
        <v>61</v>
      </c>
      <c r="D25" s="25"/>
      <c r="E25" s="7"/>
      <c r="F25" s="27" t="s">
        <v>62</v>
      </c>
      <c r="G25" s="27"/>
      <c r="H25" s="7"/>
    </row>
    <row r="26" spans="1:8" ht="15" thickBot="1" x14ac:dyDescent="0.35">
      <c r="A26" s="35" t="s">
        <v>63</v>
      </c>
      <c r="B26" s="35"/>
      <c r="C26" s="36" t="s">
        <v>64</v>
      </c>
      <c r="D26" s="36"/>
      <c r="E26" s="5"/>
      <c r="F26" s="37" t="s">
        <v>65</v>
      </c>
      <c r="G26" s="37"/>
      <c r="H26" s="5"/>
    </row>
    <row r="27" spans="1:8" x14ac:dyDescent="0.3">
      <c r="A27" s="38" t="s">
        <v>66</v>
      </c>
      <c r="B27" s="38"/>
      <c r="C27" s="41" t="s">
        <v>67</v>
      </c>
      <c r="D27" s="41"/>
      <c r="E27" s="14"/>
      <c r="F27" s="42" t="s">
        <v>68</v>
      </c>
      <c r="G27" s="42"/>
      <c r="H27" s="14"/>
    </row>
    <row r="28" spans="1:8" x14ac:dyDescent="0.3">
      <c r="A28" s="23" t="s">
        <v>69</v>
      </c>
      <c r="B28" s="23"/>
      <c r="C28" s="33" t="s">
        <v>70</v>
      </c>
      <c r="D28" s="33"/>
      <c r="E28" s="5"/>
      <c r="F28" s="34" t="s">
        <v>71</v>
      </c>
      <c r="G28" s="34"/>
      <c r="H28" s="5"/>
    </row>
    <row r="29" spans="1:8" x14ac:dyDescent="0.3">
      <c r="A29" s="22" t="s">
        <v>72</v>
      </c>
      <c r="B29" s="22"/>
      <c r="C29" s="25" t="s">
        <v>73</v>
      </c>
      <c r="D29" s="25"/>
      <c r="E29" s="7"/>
      <c r="F29" s="27" t="s">
        <v>74</v>
      </c>
      <c r="G29" s="27"/>
      <c r="H29" s="7"/>
    </row>
    <row r="30" spans="1:8" x14ac:dyDescent="0.3">
      <c r="A30" s="23" t="s">
        <v>75</v>
      </c>
      <c r="B30" s="23"/>
      <c r="C30" s="33" t="s">
        <v>76</v>
      </c>
      <c r="D30" s="33"/>
      <c r="E30" s="5"/>
      <c r="F30" s="34" t="s">
        <v>77</v>
      </c>
      <c r="G30" s="34"/>
      <c r="H30" s="5"/>
    </row>
    <row r="31" spans="1:8" ht="26.4" customHeight="1" x14ac:dyDescent="0.3">
      <c r="A31" s="21" t="s">
        <v>78</v>
      </c>
      <c r="B31" s="21"/>
      <c r="C31" s="22"/>
      <c r="D31" s="22"/>
      <c r="E31" s="22"/>
      <c r="F31" s="22"/>
      <c r="G31" s="22"/>
      <c r="H31" s="22"/>
    </row>
    <row r="32" spans="1:8" ht="39.6" customHeight="1" x14ac:dyDescent="0.3">
      <c r="A32" s="32" t="s">
        <v>79</v>
      </c>
      <c r="B32" s="32"/>
      <c r="C32" s="33" t="s">
        <v>80</v>
      </c>
      <c r="D32" s="33"/>
      <c r="E32" s="5"/>
      <c r="F32" s="34" t="s">
        <v>81</v>
      </c>
      <c r="G32" s="34"/>
      <c r="H32" s="5"/>
    </row>
    <row r="33" spans="1:8" x14ac:dyDescent="0.3">
      <c r="A33" s="22" t="s">
        <v>82</v>
      </c>
      <c r="B33" s="22"/>
      <c r="C33" s="25" t="s">
        <v>83</v>
      </c>
      <c r="D33" s="25"/>
      <c r="E33" s="7"/>
      <c r="F33" s="27" t="s">
        <v>84</v>
      </c>
      <c r="G33" s="27"/>
      <c r="H33" s="7"/>
    </row>
    <row r="34" spans="1:8" x14ac:dyDescent="0.3">
      <c r="A34" s="23" t="s">
        <v>85</v>
      </c>
      <c r="B34" s="23"/>
      <c r="C34" s="33" t="s">
        <v>86</v>
      </c>
      <c r="D34" s="33"/>
      <c r="E34" s="5"/>
      <c r="F34" s="34" t="s">
        <v>87</v>
      </c>
      <c r="G34" s="34"/>
      <c r="H34" s="5"/>
    </row>
    <row r="35" spans="1:8" ht="26.4" customHeight="1" x14ac:dyDescent="0.3">
      <c r="A35" s="22" t="s">
        <v>88</v>
      </c>
      <c r="B35" s="22"/>
      <c r="C35" s="43">
        <v>-14131</v>
      </c>
      <c r="D35" s="43"/>
      <c r="E35" s="7"/>
      <c r="F35" s="44">
        <v>-16843</v>
      </c>
      <c r="G35" s="44"/>
      <c r="H35" s="7"/>
    </row>
    <row r="36" spans="1:8" ht="39.6" customHeight="1" thickBot="1" x14ac:dyDescent="0.35">
      <c r="A36" s="45" t="s">
        <v>89</v>
      </c>
      <c r="B36" s="45"/>
      <c r="C36" s="46">
        <v>-56423</v>
      </c>
      <c r="D36" s="46"/>
      <c r="E36" s="5"/>
      <c r="F36" s="47">
        <v>-55916</v>
      </c>
      <c r="G36" s="47"/>
      <c r="H36" s="5"/>
    </row>
    <row r="37" spans="1:8" ht="39.6" customHeight="1" x14ac:dyDescent="0.3">
      <c r="A37" s="38" t="s">
        <v>90</v>
      </c>
      <c r="B37" s="38"/>
      <c r="C37" s="41" t="s">
        <v>91</v>
      </c>
      <c r="D37" s="41"/>
      <c r="E37" s="14"/>
      <c r="F37" s="42" t="s">
        <v>92</v>
      </c>
      <c r="G37" s="42"/>
      <c r="H37" s="14"/>
    </row>
    <row r="38" spans="1:8" ht="26.4" customHeight="1" thickBot="1" x14ac:dyDescent="0.35">
      <c r="A38" s="35" t="s">
        <v>93</v>
      </c>
      <c r="B38" s="35"/>
      <c r="C38" s="36" t="s">
        <v>94</v>
      </c>
      <c r="D38" s="36"/>
      <c r="E38" s="5"/>
      <c r="F38" s="37" t="s">
        <v>95</v>
      </c>
      <c r="G38" s="37"/>
      <c r="H38" s="5"/>
    </row>
    <row r="39" spans="1:8" ht="15" thickBot="1" x14ac:dyDescent="0.35">
      <c r="A39" s="48" t="s">
        <v>96</v>
      </c>
      <c r="B39" s="48"/>
      <c r="C39" s="49" t="s">
        <v>97</v>
      </c>
      <c r="D39" s="49"/>
      <c r="E39" s="14"/>
      <c r="F39" s="50" t="s">
        <v>98</v>
      </c>
      <c r="G39" s="50"/>
      <c r="H39" s="14"/>
    </row>
    <row r="40" spans="1:8" ht="15" thickBot="1" x14ac:dyDescent="0.35">
      <c r="A40" s="51" t="s">
        <v>99</v>
      </c>
      <c r="B40" s="51"/>
      <c r="C40" s="15" t="s">
        <v>3</v>
      </c>
      <c r="D40" s="16" t="s">
        <v>47</v>
      </c>
      <c r="E40" s="17"/>
      <c r="F40" s="18" t="s">
        <v>3</v>
      </c>
      <c r="G40" s="19" t="s">
        <v>48</v>
      </c>
      <c r="H40" s="17"/>
    </row>
    <row r="41" spans="1:8" ht="15" thickTop="1" x14ac:dyDescent="0.3">
      <c r="A41" s="52"/>
    </row>
    <row r="42" spans="1:8" x14ac:dyDescent="0.3">
      <c r="E42" s="82" t="s">
        <v>106</v>
      </c>
    </row>
  </sheetData>
  <mergeCells count="105">
    <mergeCell ref="A39:B39"/>
    <mergeCell ref="C39:D39"/>
    <mergeCell ref="F39:G39"/>
    <mergeCell ref="A40:B40"/>
    <mergeCell ref="A37:B37"/>
    <mergeCell ref="C37:D37"/>
    <mergeCell ref="F37:G37"/>
    <mergeCell ref="A38:B38"/>
    <mergeCell ref="C38:D38"/>
    <mergeCell ref="F38:G38"/>
    <mergeCell ref="A35:B35"/>
    <mergeCell ref="C35:D35"/>
    <mergeCell ref="F35:G35"/>
    <mergeCell ref="A36:B36"/>
    <mergeCell ref="C36:D36"/>
    <mergeCell ref="F36:G36"/>
    <mergeCell ref="A33:B33"/>
    <mergeCell ref="C33:D33"/>
    <mergeCell ref="F33:G33"/>
    <mergeCell ref="A34:B34"/>
    <mergeCell ref="C34:D34"/>
    <mergeCell ref="F34:G34"/>
    <mergeCell ref="A31:B31"/>
    <mergeCell ref="C31:E31"/>
    <mergeCell ref="F31:H31"/>
    <mergeCell ref="A32:B32"/>
    <mergeCell ref="C32:D32"/>
    <mergeCell ref="F32:G32"/>
    <mergeCell ref="A29:B29"/>
    <mergeCell ref="C29:D29"/>
    <mergeCell ref="F29:G29"/>
    <mergeCell ref="A30:B30"/>
    <mergeCell ref="C30:D30"/>
    <mergeCell ref="F30:G30"/>
    <mergeCell ref="A27:B27"/>
    <mergeCell ref="C27:D27"/>
    <mergeCell ref="F27:G27"/>
    <mergeCell ref="A28:B28"/>
    <mergeCell ref="C28:D28"/>
    <mergeCell ref="F28:G28"/>
    <mergeCell ref="A25:B25"/>
    <mergeCell ref="C25:D25"/>
    <mergeCell ref="F25:G25"/>
    <mergeCell ref="A26:B26"/>
    <mergeCell ref="C26:D26"/>
    <mergeCell ref="F26:G26"/>
    <mergeCell ref="A23:B23"/>
    <mergeCell ref="C23:D23"/>
    <mergeCell ref="F23:G23"/>
    <mergeCell ref="A24:B24"/>
    <mergeCell ref="C24:D24"/>
    <mergeCell ref="F24:G24"/>
    <mergeCell ref="A19:B19"/>
    <mergeCell ref="A20:H20"/>
    <mergeCell ref="A21:B21"/>
    <mergeCell ref="C21:E21"/>
    <mergeCell ref="F21:H21"/>
    <mergeCell ref="A22:B22"/>
    <mergeCell ref="A17:B17"/>
    <mergeCell ref="C17:D17"/>
    <mergeCell ref="F17:G17"/>
    <mergeCell ref="A18:B18"/>
    <mergeCell ref="C18:D18"/>
    <mergeCell ref="F18:G18"/>
    <mergeCell ref="A15:B15"/>
    <mergeCell ref="C15:D15"/>
    <mergeCell ref="F15:G15"/>
    <mergeCell ref="A16:B16"/>
    <mergeCell ref="C16:D16"/>
    <mergeCell ref="F16:G16"/>
    <mergeCell ref="A13:B13"/>
    <mergeCell ref="C13:D13"/>
    <mergeCell ref="F13:G13"/>
    <mergeCell ref="A14:B14"/>
    <mergeCell ref="C14:D14"/>
    <mergeCell ref="F14:G14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4:B4"/>
    <mergeCell ref="A5:B5"/>
    <mergeCell ref="C5:D5"/>
    <mergeCell ref="F5:G5"/>
    <mergeCell ref="A6:B6"/>
    <mergeCell ref="C6:D6"/>
    <mergeCell ref="F6:G6"/>
    <mergeCell ref="A1:H1"/>
    <mergeCell ref="A3:B3"/>
    <mergeCell ref="C3:E3"/>
    <mergeCell ref="F3:H3"/>
  </mergeCells>
  <hyperlinks>
    <hyperlink ref="E42" r:id="rId1" location="fact-identifier-503" xr:uid="{711CAFAB-D872-486E-A080-A24F1C43D4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87C5-364C-4CC6-BDF2-49F924BC0EAB}">
  <dimension ref="A3:M46"/>
  <sheetViews>
    <sheetView tabSelected="1" topLeftCell="A30" workbookViewId="0">
      <selection activeCell="N41" sqref="N41"/>
    </sheetView>
  </sheetViews>
  <sheetFormatPr defaultRowHeight="14.4" x14ac:dyDescent="0.3"/>
  <cols>
    <col min="1" max="1" width="35.21875" style="55" customWidth="1"/>
    <col min="7" max="7" width="9.21875" style="71" bestFit="1" customWidth="1"/>
    <col min="10" max="10" width="16.109375" style="79" customWidth="1"/>
    <col min="11" max="11" width="8.88671875" style="79" customWidth="1"/>
    <col min="12" max="12" width="10" customWidth="1"/>
  </cols>
  <sheetData>
    <row r="3" spans="1:13" x14ac:dyDescent="0.3">
      <c r="E3" s="56">
        <v>2025</v>
      </c>
      <c r="F3" s="56"/>
      <c r="G3" s="75">
        <v>2024</v>
      </c>
    </row>
    <row r="4" spans="1:13" ht="15.6" x14ac:dyDescent="0.3">
      <c r="A4" s="61" t="s">
        <v>0</v>
      </c>
      <c r="M4" t="s">
        <v>103</v>
      </c>
    </row>
    <row r="5" spans="1:13" x14ac:dyDescent="0.3">
      <c r="A5" s="60" t="s">
        <v>1</v>
      </c>
      <c r="J5" s="81" t="s">
        <v>105</v>
      </c>
      <c r="K5" s="81"/>
      <c r="L5" s="81" t="s">
        <v>104</v>
      </c>
    </row>
    <row r="6" spans="1:13" x14ac:dyDescent="0.3">
      <c r="A6" s="55" t="s">
        <v>2</v>
      </c>
      <c r="C6" t="s">
        <v>3</v>
      </c>
      <c r="E6">
        <v>10270</v>
      </c>
      <c r="G6">
        <v>10828</v>
      </c>
      <c r="J6" s="79">
        <f>E6-G6</f>
        <v>-558</v>
      </c>
      <c r="L6" s="71">
        <f xml:space="preserve"> E6/G6-1</f>
        <v>-5.1533062430735077E-2</v>
      </c>
    </row>
    <row r="7" spans="1:13" x14ac:dyDescent="0.3">
      <c r="A7" s="55" t="s">
        <v>4</v>
      </c>
      <c r="E7">
        <v>3602</v>
      </c>
      <c r="G7">
        <v>2020</v>
      </c>
      <c r="J7" s="79">
        <f t="shared" ref="J7:J20" si="0">E7-G7</f>
        <v>1582</v>
      </c>
      <c r="L7" s="71">
        <f xml:space="preserve"> E7/G7-1</f>
        <v>0.7831683168316832</v>
      </c>
    </row>
    <row r="8" spans="1:13" s="76" customFormat="1" ht="28.8" x14ac:dyDescent="0.3">
      <c r="A8" s="70" t="s">
        <v>7</v>
      </c>
      <c r="D8" s="76">
        <v>13872</v>
      </c>
      <c r="F8" s="76">
        <v>12848</v>
      </c>
      <c r="J8" s="78">
        <f>D8-F8</f>
        <v>1024</v>
      </c>
      <c r="K8" s="78"/>
      <c r="L8" s="77">
        <f>D8/F8-1</f>
        <v>7.9701120797011304E-2</v>
      </c>
    </row>
    <row r="9" spans="1:13" x14ac:dyDescent="0.3">
      <c r="A9" s="55" t="s">
        <v>10</v>
      </c>
      <c r="E9">
        <v>1934</v>
      </c>
      <c r="G9">
        <v>1723</v>
      </c>
      <c r="J9" s="79">
        <f t="shared" si="0"/>
        <v>211</v>
      </c>
      <c r="L9" s="71">
        <f xml:space="preserve"> E9/G9-1</f>
        <v>0.12246082414393489</v>
      </c>
    </row>
    <row r="10" spans="1:13" ht="28.8" x14ac:dyDescent="0.3">
      <c r="A10" s="55" t="s">
        <v>13</v>
      </c>
      <c r="E10">
        <v>3038</v>
      </c>
      <c r="G10">
        <v>3569</v>
      </c>
      <c r="J10" s="79">
        <f t="shared" si="0"/>
        <v>-531</v>
      </c>
      <c r="L10" s="71">
        <f xml:space="preserve"> E10/G10-1</f>
        <v>-0.14878117119641354</v>
      </c>
    </row>
    <row r="11" spans="1:13" x14ac:dyDescent="0.3">
      <c r="A11" s="1" t="s">
        <v>16</v>
      </c>
      <c r="E11">
        <v>4425</v>
      </c>
      <c r="G11">
        <v>4728</v>
      </c>
      <c r="J11" s="79">
        <f t="shared" si="0"/>
        <v>-303</v>
      </c>
      <c r="L11" s="71">
        <f xml:space="preserve"> E11/G11-1</f>
        <v>-6.4086294416243694E-2</v>
      </c>
    </row>
    <row r="12" spans="1:13" ht="28.8" x14ac:dyDescent="0.3">
      <c r="A12" s="55" t="s">
        <v>19</v>
      </c>
      <c r="E12">
        <v>2433</v>
      </c>
      <c r="G12">
        <v>2998</v>
      </c>
      <c r="J12" s="79">
        <f t="shared" si="0"/>
        <v>-565</v>
      </c>
      <c r="L12" s="71">
        <f xml:space="preserve"> E12/G12-1</f>
        <v>-0.18845897264843225</v>
      </c>
    </row>
    <row r="13" spans="1:13" x14ac:dyDescent="0.3">
      <c r="A13" s="55" t="s">
        <v>22</v>
      </c>
      <c r="E13">
        <v>5342</v>
      </c>
      <c r="G13">
        <v>131</v>
      </c>
      <c r="J13" s="79">
        <f t="shared" si="0"/>
        <v>5211</v>
      </c>
      <c r="L13" s="71">
        <f xml:space="preserve"> E13/G13-1</f>
        <v>39.778625954198475</v>
      </c>
    </row>
    <row r="14" spans="1:13" s="76" customFormat="1" x14ac:dyDescent="0.3">
      <c r="A14" s="70" t="s">
        <v>25</v>
      </c>
      <c r="D14" s="76">
        <v>31044</v>
      </c>
      <c r="F14" s="76">
        <v>25997</v>
      </c>
      <c r="J14" s="78">
        <f>D14-F14</f>
        <v>5047</v>
      </c>
      <c r="K14" s="78"/>
      <c r="L14" s="77">
        <f>D14/F14-1</f>
        <v>0.19413778512905333</v>
      </c>
    </row>
    <row r="15" spans="1:13" x14ac:dyDescent="0.3">
      <c r="A15" s="55" t="s">
        <v>28</v>
      </c>
      <c r="E15">
        <v>20235</v>
      </c>
      <c r="G15">
        <v>18087</v>
      </c>
      <c r="J15" s="79">
        <f t="shared" si="0"/>
        <v>2148</v>
      </c>
      <c r="L15" s="71">
        <f xml:space="preserve"> E15/G15-1</f>
        <v>0.11875932990545701</v>
      </c>
    </row>
    <row r="16" spans="1:13" x14ac:dyDescent="0.3">
      <c r="A16" s="55" t="s">
        <v>31</v>
      </c>
      <c r="E16">
        <v>1206</v>
      </c>
      <c r="G16">
        <v>1319</v>
      </c>
      <c r="J16" s="79">
        <f t="shared" si="0"/>
        <v>-113</v>
      </c>
      <c r="L16" s="71">
        <f xml:space="preserve"> E16/G16-1</f>
        <v>-8.5670962850644461E-2</v>
      </c>
    </row>
    <row r="17" spans="1:12" x14ac:dyDescent="0.3">
      <c r="A17" s="55" t="s">
        <v>34</v>
      </c>
      <c r="E17">
        <v>9613</v>
      </c>
      <c r="G17">
        <v>10303</v>
      </c>
      <c r="J17" s="79">
        <f t="shared" si="0"/>
        <v>-690</v>
      </c>
      <c r="L17" s="71">
        <f xml:space="preserve"> E17/G17-1</f>
        <v>-6.6970785208191774E-2</v>
      </c>
    </row>
    <row r="18" spans="1:12" x14ac:dyDescent="0.3">
      <c r="A18" s="55" t="s">
        <v>37</v>
      </c>
      <c r="E18">
        <v>12531</v>
      </c>
      <c r="G18">
        <v>13301</v>
      </c>
      <c r="J18" s="79">
        <f t="shared" si="0"/>
        <v>-770</v>
      </c>
      <c r="L18" s="71">
        <f xml:space="preserve"> E18/G18-1</f>
        <v>-5.7890384181640497E-2</v>
      </c>
    </row>
    <row r="19" spans="1:12" x14ac:dyDescent="0.3">
      <c r="A19" s="55" t="s">
        <v>40</v>
      </c>
      <c r="E19">
        <v>15491</v>
      </c>
      <c r="G19">
        <v>18139</v>
      </c>
      <c r="J19" s="79">
        <f t="shared" si="0"/>
        <v>-2648</v>
      </c>
      <c r="L19" s="71">
        <f xml:space="preserve"> E19/G19-1</f>
        <v>-0.14598379182975907</v>
      </c>
    </row>
    <row r="20" spans="1:12" x14ac:dyDescent="0.3">
      <c r="A20" s="55" t="s">
        <v>43</v>
      </c>
      <c r="E20">
        <v>14696</v>
      </c>
      <c r="G20">
        <v>13403</v>
      </c>
      <c r="J20" s="79">
        <f t="shared" si="0"/>
        <v>1293</v>
      </c>
      <c r="L20" s="71">
        <f xml:space="preserve"> E20/G20-1</f>
        <v>9.6470939341938289E-2</v>
      </c>
    </row>
    <row r="21" spans="1:12" s="76" customFormat="1" x14ac:dyDescent="0.3">
      <c r="A21" s="70" t="s">
        <v>46</v>
      </c>
      <c r="D21" s="76">
        <v>104816</v>
      </c>
      <c r="F21" s="76">
        <v>100549</v>
      </c>
      <c r="G21" s="77"/>
      <c r="J21" s="78">
        <f>D21-F21</f>
        <v>4267</v>
      </c>
      <c r="K21" s="78"/>
      <c r="L21" s="77">
        <f>D21/F21-1</f>
        <v>4.2437020756049382E-2</v>
      </c>
    </row>
    <row r="22" spans="1:12" s="64" customFormat="1" x14ac:dyDescent="0.3">
      <c r="A22" s="62"/>
      <c r="B22" s="63"/>
      <c r="C22" s="63"/>
      <c r="D22" s="63"/>
      <c r="E22" s="63"/>
      <c r="F22" s="63"/>
      <c r="G22" s="74"/>
      <c r="J22" s="80"/>
      <c r="K22" s="80"/>
    </row>
    <row r="23" spans="1:12" ht="15.6" x14ac:dyDescent="0.3">
      <c r="A23" s="61" t="s">
        <v>49</v>
      </c>
    </row>
    <row r="24" spans="1:12" x14ac:dyDescent="0.3">
      <c r="A24" s="69" t="s">
        <v>50</v>
      </c>
    </row>
    <row r="25" spans="1:12" x14ac:dyDescent="0.3">
      <c r="A25" s="55" t="s">
        <v>51</v>
      </c>
      <c r="D25" t="s">
        <v>3</v>
      </c>
      <c r="E25">
        <v>14813</v>
      </c>
      <c r="G25">
        <v>21712</v>
      </c>
      <c r="J25" s="79">
        <f>G25-E25</f>
        <v>6899</v>
      </c>
      <c r="L25" s="71">
        <f>G25/E25-1</f>
        <v>0.46573955309525417</v>
      </c>
    </row>
    <row r="26" spans="1:12" x14ac:dyDescent="0.3">
      <c r="A26" s="55" t="s">
        <v>54</v>
      </c>
      <c r="E26">
        <v>1551</v>
      </c>
      <c r="G26">
        <v>1499</v>
      </c>
      <c r="J26" s="79">
        <f>G26-E26</f>
        <v>-52</v>
      </c>
      <c r="L26" s="71">
        <f t="shared" ref="L26:L33" si="1">G26/E26-1</f>
        <v>-3.3526756931012258E-2</v>
      </c>
    </row>
    <row r="27" spans="1:12" x14ac:dyDescent="0.3">
      <c r="A27" s="55" t="s">
        <v>57</v>
      </c>
      <c r="E27">
        <v>1822</v>
      </c>
      <c r="G27">
        <v>648</v>
      </c>
      <c r="J27" s="79">
        <f t="shared" ref="J27:J33" si="2">G27-E27</f>
        <v>-1174</v>
      </c>
      <c r="L27" s="71">
        <f t="shared" si="1"/>
        <v>-0.64434687156970361</v>
      </c>
    </row>
    <row r="28" spans="1:12" x14ac:dyDescent="0.3">
      <c r="A28" s="55" t="s">
        <v>60</v>
      </c>
      <c r="E28">
        <v>525</v>
      </c>
      <c r="G28">
        <v>1387</v>
      </c>
      <c r="J28" s="79">
        <f t="shared" si="2"/>
        <v>862</v>
      </c>
      <c r="L28" s="71">
        <f t="shared" si="1"/>
        <v>1.6419047619047618</v>
      </c>
    </row>
    <row r="29" spans="1:12" x14ac:dyDescent="0.3">
      <c r="A29" s="55" t="s">
        <v>63</v>
      </c>
      <c r="E29">
        <v>2570</v>
      </c>
      <c r="G29">
        <v>3</v>
      </c>
      <c r="J29" s="79">
        <f t="shared" si="2"/>
        <v>-2567</v>
      </c>
      <c r="L29" s="71">
        <f t="shared" si="1"/>
        <v>-0.99883268482490273</v>
      </c>
    </row>
    <row r="30" spans="1:12" s="57" customFormat="1" x14ac:dyDescent="0.3">
      <c r="A30" s="58" t="s">
        <v>66</v>
      </c>
      <c r="B30" s="59"/>
      <c r="C30" s="59"/>
      <c r="D30" s="57">
        <v>21281</v>
      </c>
      <c r="E30" s="59"/>
      <c r="F30" s="57">
        <v>25249</v>
      </c>
      <c r="G30" s="73"/>
      <c r="J30" s="78">
        <f>F30-D30</f>
        <v>3968</v>
      </c>
      <c r="K30" s="78"/>
      <c r="L30" s="73">
        <f>F30/D30-1</f>
        <v>0.18645740331751326</v>
      </c>
    </row>
    <row r="31" spans="1:12" x14ac:dyDescent="0.3">
      <c r="A31" s="55" t="s">
        <v>69</v>
      </c>
      <c r="E31">
        <v>42119</v>
      </c>
      <c r="G31">
        <v>42375</v>
      </c>
      <c r="J31" s="79">
        <f t="shared" si="2"/>
        <v>256</v>
      </c>
      <c r="L31" s="71">
        <f t="shared" si="1"/>
        <v>6.0780170469383332E-3</v>
      </c>
    </row>
    <row r="32" spans="1:12" x14ac:dyDescent="0.3">
      <c r="A32" s="55" t="s">
        <v>72</v>
      </c>
      <c r="E32">
        <v>4735</v>
      </c>
      <c r="G32">
        <v>4084</v>
      </c>
      <c r="J32" s="79">
        <f t="shared" si="2"/>
        <v>-651</v>
      </c>
      <c r="L32" s="71">
        <f t="shared" si="1"/>
        <v>-0.13748680042238648</v>
      </c>
    </row>
    <row r="33" spans="1:12" x14ac:dyDescent="0.3">
      <c r="A33" s="55" t="s">
        <v>75</v>
      </c>
      <c r="E33">
        <v>2406</v>
      </c>
      <c r="G33">
        <v>2469</v>
      </c>
      <c r="J33" s="79">
        <f t="shared" si="2"/>
        <v>63</v>
      </c>
      <c r="L33" s="71">
        <f t="shared" si="1"/>
        <v>2.6184538653366562E-2</v>
      </c>
    </row>
    <row r="34" spans="1:12" s="83" customFormat="1" x14ac:dyDescent="0.3">
      <c r="A34" s="58" t="s">
        <v>107</v>
      </c>
      <c r="D34" s="83">
        <f>SUM(E25:E33)</f>
        <v>70541</v>
      </c>
      <c r="F34" s="83">
        <f>SUM(G25:G33)</f>
        <v>74177</v>
      </c>
      <c r="J34" s="83">
        <f>F34-D34</f>
        <v>3636</v>
      </c>
      <c r="L34" s="84">
        <f>F34/D34-1</f>
        <v>5.1544491855800123E-2</v>
      </c>
    </row>
    <row r="36" spans="1:12" ht="15.6" x14ac:dyDescent="0.3">
      <c r="A36" s="61" t="s">
        <v>102</v>
      </c>
    </row>
    <row r="37" spans="1:12" ht="43.2" x14ac:dyDescent="0.3">
      <c r="A37" s="55" t="s">
        <v>79</v>
      </c>
      <c r="E37">
        <v>1760</v>
      </c>
      <c r="G37">
        <v>1760</v>
      </c>
      <c r="J37" s="79">
        <f>E37-G37</f>
        <v>0</v>
      </c>
      <c r="L37">
        <f>E37/G37-1</f>
        <v>0</v>
      </c>
    </row>
    <row r="38" spans="1:12" x14ac:dyDescent="0.3">
      <c r="A38" s="55" t="s">
        <v>82</v>
      </c>
      <c r="E38">
        <v>20581</v>
      </c>
      <c r="G38">
        <v>19801</v>
      </c>
      <c r="J38" s="79">
        <f t="shared" ref="J38:J43" si="3">E38-G38</f>
        <v>780</v>
      </c>
      <c r="L38">
        <f t="shared" ref="L38:L43" si="4">E38/G38-1</f>
        <v>3.9391949901520062E-2</v>
      </c>
    </row>
    <row r="39" spans="1:12" x14ac:dyDescent="0.3">
      <c r="A39" s="55" t="s">
        <v>85</v>
      </c>
      <c r="E39">
        <v>80382</v>
      </c>
      <c r="G39">
        <v>76054</v>
      </c>
      <c r="J39" s="79">
        <f t="shared" si="3"/>
        <v>4328</v>
      </c>
      <c r="L39">
        <f t="shared" si="4"/>
        <v>5.6906934546506527E-2</v>
      </c>
    </row>
    <row r="40" spans="1:12" ht="28.8" x14ac:dyDescent="0.3">
      <c r="A40" s="55" t="s">
        <v>88</v>
      </c>
      <c r="E40">
        <v>-14131</v>
      </c>
      <c r="G40">
        <v>-16843</v>
      </c>
      <c r="J40" s="79">
        <f t="shared" si="3"/>
        <v>2712</v>
      </c>
      <c r="L40">
        <f t="shared" si="4"/>
        <v>-0.16101644600130616</v>
      </c>
    </row>
    <row r="41" spans="1:12" ht="43.2" x14ac:dyDescent="0.3">
      <c r="A41" s="55" t="s">
        <v>89</v>
      </c>
      <c r="E41">
        <v>-56423</v>
      </c>
      <c r="G41">
        <v>-55916</v>
      </c>
      <c r="J41" s="79">
        <f t="shared" si="3"/>
        <v>-507</v>
      </c>
      <c r="L41">
        <f t="shared" si="4"/>
        <v>9.067172186851602E-3</v>
      </c>
    </row>
    <row r="42" spans="1:12" ht="28.8" x14ac:dyDescent="0.3">
      <c r="A42" s="55" t="s">
        <v>90</v>
      </c>
      <c r="E42">
        <v>32169</v>
      </c>
      <c r="G42">
        <v>24856</v>
      </c>
      <c r="J42" s="79">
        <f t="shared" si="3"/>
        <v>7313</v>
      </c>
      <c r="L42">
        <f t="shared" si="4"/>
        <v>0.29421467653685229</v>
      </c>
    </row>
    <row r="43" spans="1:12" ht="28.8" x14ac:dyDescent="0.3">
      <c r="A43" s="55" t="s">
        <v>93</v>
      </c>
      <c r="E43">
        <v>2106</v>
      </c>
      <c r="G43">
        <v>1516</v>
      </c>
      <c r="J43" s="79">
        <f t="shared" si="3"/>
        <v>590</v>
      </c>
      <c r="L43">
        <f t="shared" si="4"/>
        <v>0.3891820580474934</v>
      </c>
    </row>
    <row r="44" spans="1:12" s="57" customFormat="1" x14ac:dyDescent="0.3">
      <c r="A44" s="58" t="s">
        <v>96</v>
      </c>
      <c r="B44" s="59"/>
      <c r="C44" s="59"/>
      <c r="D44" s="57">
        <v>34275</v>
      </c>
      <c r="E44" s="59"/>
      <c r="F44" s="57">
        <v>26372</v>
      </c>
      <c r="G44" s="73"/>
      <c r="J44" s="78">
        <f>D44-F44</f>
        <v>7903</v>
      </c>
      <c r="K44" s="78"/>
      <c r="L44" s="57">
        <f>D44/F44-1</f>
        <v>0.29967389655695431</v>
      </c>
    </row>
    <row r="45" spans="1:12" x14ac:dyDescent="0.3">
      <c r="A45" s="65"/>
      <c r="B45" s="66"/>
      <c r="C45" s="66"/>
      <c r="D45" s="66"/>
      <c r="F45" s="66"/>
      <c r="G45"/>
    </row>
    <row r="46" spans="1:12" s="56" customFormat="1" x14ac:dyDescent="0.3">
      <c r="A46" s="67" t="s">
        <v>99</v>
      </c>
      <c r="B46" s="68"/>
      <c r="C46" s="68"/>
      <c r="D46" s="56">
        <v>104816</v>
      </c>
      <c r="E46" s="68"/>
      <c r="F46" s="56">
        <v>100549</v>
      </c>
      <c r="G46" s="72"/>
      <c r="J46" s="85"/>
      <c r="K46" s="85"/>
    </row>
  </sheetData>
  <conditionalFormatting sqref="J6:K2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{8C655FCA-FEB9-4B93-9B19-D78518BC417E}</x14:id>
        </ext>
      </extLst>
    </cfRule>
  </conditionalFormatting>
  <conditionalFormatting sqref="L6:L21">
    <cfRule type="iconSet" priority="5">
      <iconSet iconSet="3Arrows">
        <cfvo type="percent" val="0"/>
        <cfvo type="num" val="0"/>
        <cfvo type="num" val="0" gte="0"/>
      </iconSet>
    </cfRule>
  </conditionalFormatting>
  <conditionalFormatting sqref="J25:J3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{30B59A93-5BE6-419D-BF68-8514E50B8A2F}</x14:id>
        </ext>
      </extLst>
    </cfRule>
  </conditionalFormatting>
  <conditionalFormatting sqref="L25:L34">
    <cfRule type="iconSet" priority="3">
      <iconSet iconSet="3Arrows">
        <cfvo type="percent" val="0"/>
        <cfvo type="num" val="0"/>
        <cfvo type="num" val="0" gte="0"/>
      </iconSet>
    </cfRule>
  </conditionalFormatting>
  <conditionalFormatting sqref="J37:J4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{19E287B9-C99E-4F25-B27B-4E144F96DD89}</x14:id>
        </ext>
      </extLst>
    </cfRule>
  </conditionalFormatting>
  <conditionalFormatting sqref="L37:L44">
    <cfRule type="iconSet" priority="1">
      <iconSet iconSet="3Arrows">
        <cfvo type="percent" val="0"/>
        <cfvo type="num" val="0"/>
        <cfvo type="num" val="0" gte="0"/>
      </iconSe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655FCA-FEB9-4B93-9B19-D78518BC41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J6:K21</xm:sqref>
        </x14:conditionalFormatting>
        <x14:conditionalFormatting xmlns:xm="http://schemas.microsoft.com/office/excel/2006/main">
          <x14:cfRule type="dataBar" id="{30B59A93-5BE6-419D-BF68-8514E50B8A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J25:J34</xm:sqref>
        </x14:conditionalFormatting>
        <x14:conditionalFormatting xmlns:xm="http://schemas.microsoft.com/office/excel/2006/main">
          <x14:cfRule type="dataBar" id="{19E287B9-C99E-4F25-B27B-4E144F96DD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J37:J44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From Balance Sheet</vt:lpstr>
      <vt:lpstr>Variance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</dc:creator>
  <cp:lastModifiedBy>Brian P</cp:lastModifiedBy>
  <dcterms:created xsi:type="dcterms:W3CDTF">2026-03-04T20:19:25Z</dcterms:created>
  <dcterms:modified xsi:type="dcterms:W3CDTF">2026-03-04T21:29:37Z</dcterms:modified>
</cp:coreProperties>
</file>